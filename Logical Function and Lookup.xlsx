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E54CB07EDD3DD8B/Documents/"/>
    </mc:Choice>
  </mc:AlternateContent>
  <xr:revisionPtr revIDLastSave="0" documentId="8_{3D68E28F-535B-48DF-8ECE-D4820C9C1FC2}" xr6:coauthVersionLast="47" xr6:coauthVersionMax="47" xr10:uidLastSave="{00000000-0000-0000-0000-000000000000}"/>
  <bookViews>
    <workbookView xWindow="-108" yWindow="-108" windowWidth="23256" windowHeight="13896" xr2:uid="{F28C8F13-D3FD-4336-86A7-05A0C8A098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1" l="1"/>
  <c r="Q10" i="1"/>
  <c r="L11" i="1"/>
  <c r="L12" i="1"/>
  <c r="L10" i="1"/>
  <c r="E11" i="1"/>
  <c r="R7" i="1"/>
  <c r="O3" i="1"/>
  <c r="O4" i="1"/>
  <c r="O5" i="1"/>
  <c r="O6" i="1"/>
  <c r="O2" i="1"/>
  <c r="J3" i="1"/>
  <c r="J4" i="1"/>
  <c r="J5" i="1"/>
  <c r="J2" i="1"/>
  <c r="D3" i="1"/>
  <c r="D4" i="1"/>
  <c r="D5" i="1"/>
  <c r="D6" i="1"/>
  <c r="D2" i="1"/>
</calcChain>
</file>

<file path=xl/sharedStrings.xml><?xml version="1.0" encoding="utf-8"?>
<sst xmlns="http://schemas.openxmlformats.org/spreadsheetml/2006/main" count="73" uniqueCount="60">
  <si>
    <t xml:space="preserve">student name </t>
  </si>
  <si>
    <t>marks</t>
  </si>
  <si>
    <t>Riya</t>
  </si>
  <si>
    <t>Siya</t>
  </si>
  <si>
    <t>Raju</t>
  </si>
  <si>
    <t>Rahul</t>
  </si>
  <si>
    <t>Ram</t>
  </si>
  <si>
    <t>grade</t>
  </si>
  <si>
    <t>Employee</t>
  </si>
  <si>
    <t>Arjun</t>
  </si>
  <si>
    <t>Simran</t>
  </si>
  <si>
    <t>Rohit</t>
  </si>
  <si>
    <t>Anjali</t>
  </si>
  <si>
    <t>Sales</t>
  </si>
  <si>
    <t>Attendance</t>
  </si>
  <si>
    <t>Bonus</t>
  </si>
  <si>
    <t>Studwnt name</t>
  </si>
  <si>
    <t>Raj</t>
  </si>
  <si>
    <t>Neha</t>
  </si>
  <si>
    <t>Vivek</t>
  </si>
  <si>
    <t>Rani</t>
  </si>
  <si>
    <t>Sneha</t>
  </si>
  <si>
    <t>Marks</t>
  </si>
  <si>
    <t>result</t>
  </si>
  <si>
    <t>EmpID</t>
  </si>
  <si>
    <t>E101</t>
  </si>
  <si>
    <t>E102</t>
  </si>
  <si>
    <t>E103</t>
  </si>
  <si>
    <t>E104</t>
  </si>
  <si>
    <t>Name</t>
  </si>
  <si>
    <t>Roshni</t>
  </si>
  <si>
    <t>Sejal</t>
  </si>
  <si>
    <t>Dept</t>
  </si>
  <si>
    <t>IT</t>
  </si>
  <si>
    <t>HR</t>
  </si>
  <si>
    <t>Finance</t>
  </si>
  <si>
    <t>Q2</t>
  </si>
  <si>
    <t>Q1</t>
  </si>
  <si>
    <t>Q3</t>
  </si>
  <si>
    <t>Q4</t>
  </si>
  <si>
    <t>we use vlookup as it is more efficient and the lookup value is in the left most column</t>
  </si>
  <si>
    <t>Q5</t>
  </si>
  <si>
    <t>Sales Amount</t>
  </si>
  <si>
    <t>Commission(in %)</t>
  </si>
  <si>
    <t>Q6</t>
  </si>
  <si>
    <t>Emp Name</t>
  </si>
  <si>
    <t>Leaves taken</t>
  </si>
  <si>
    <t>Leaves Allowed</t>
  </si>
  <si>
    <t>Alex</t>
  </si>
  <si>
    <t>Bob</t>
  </si>
  <si>
    <t>Anna</t>
  </si>
  <si>
    <t>Balance</t>
  </si>
  <si>
    <t>Q7</t>
  </si>
  <si>
    <t>Salary</t>
  </si>
  <si>
    <t>E105</t>
  </si>
  <si>
    <t>E106</t>
  </si>
  <si>
    <t>Q8</t>
  </si>
  <si>
    <t>E303</t>
  </si>
  <si>
    <t>E301</t>
  </si>
  <si>
    <t>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</si>
</sst>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AC576-5979-40F0-AC46-337D8F211E12}">
  <dimension ref="A1:T20"/>
  <sheetViews>
    <sheetView tabSelected="1" workbookViewId="0">
      <selection activeCell="D19" sqref="D19"/>
    </sheetView>
  </sheetViews>
  <sheetFormatPr defaultRowHeight="14.4" x14ac:dyDescent="0.3"/>
  <sheetData>
    <row r="1" spans="1:20" x14ac:dyDescent="0.3">
      <c r="A1" t="s">
        <v>37</v>
      </c>
      <c r="B1" t="s">
        <v>0</v>
      </c>
      <c r="C1" t="s">
        <v>1</v>
      </c>
      <c r="D1" t="s">
        <v>7</v>
      </c>
      <c r="F1" t="s">
        <v>36</v>
      </c>
      <c r="G1" t="s">
        <v>8</v>
      </c>
      <c r="H1" t="s">
        <v>13</v>
      </c>
      <c r="I1" t="s">
        <v>14</v>
      </c>
      <c r="J1" t="s">
        <v>15</v>
      </c>
      <c r="L1" t="s">
        <v>38</v>
      </c>
      <c r="M1" t="s">
        <v>16</v>
      </c>
      <c r="N1" t="s">
        <v>22</v>
      </c>
      <c r="O1" t="s">
        <v>23</v>
      </c>
      <c r="Q1" t="s">
        <v>39</v>
      </c>
      <c r="R1" t="s">
        <v>24</v>
      </c>
      <c r="S1" t="s">
        <v>29</v>
      </c>
      <c r="T1" t="s">
        <v>32</v>
      </c>
    </row>
    <row r="2" spans="1:20" x14ac:dyDescent="0.3">
      <c r="B2" t="s">
        <v>2</v>
      </c>
      <c r="C2">
        <v>45</v>
      </c>
      <c r="D2" t="str">
        <f>IF(C2&gt;=40,"Pass","Fail")</f>
        <v>Pass</v>
      </c>
      <c r="G2" t="s">
        <v>9</v>
      </c>
      <c r="H2">
        <v>55000</v>
      </c>
      <c r="I2">
        <v>95</v>
      </c>
      <c r="J2" t="str">
        <f>IF(AND(H2&gt;40000,I2&gt;=90),"Yes","No")</f>
        <v>Yes</v>
      </c>
      <c r="M2" t="s">
        <v>17</v>
      </c>
      <c r="N2">
        <v>85</v>
      </c>
      <c r="O2" t="str">
        <f>IF(N2&gt;=90,"A",IF(N2&gt;=75,"B",IF(N2&gt;=50,"C","Fail")))</f>
        <v>B</v>
      </c>
      <c r="R2" t="s">
        <v>25</v>
      </c>
      <c r="S2" t="s">
        <v>4</v>
      </c>
      <c r="T2" t="s">
        <v>33</v>
      </c>
    </row>
    <row r="3" spans="1:20" x14ac:dyDescent="0.3">
      <c r="B3" t="s">
        <v>3</v>
      </c>
      <c r="C3">
        <v>72</v>
      </c>
      <c r="D3" t="str">
        <f t="shared" ref="D3:D6" si="0">IF(C3&gt;=40,"Pass","Fail")</f>
        <v>Pass</v>
      </c>
      <c r="G3" t="s">
        <v>10</v>
      </c>
      <c r="H3">
        <v>65000</v>
      </c>
      <c r="I3">
        <v>85</v>
      </c>
      <c r="J3" t="str">
        <f t="shared" ref="J3:J5" si="1">IF(AND(H3&gt;40000,I3&gt;=90),"Yes","No")</f>
        <v>No</v>
      </c>
      <c r="M3" t="s">
        <v>18</v>
      </c>
      <c r="N3">
        <v>96</v>
      </c>
      <c r="O3" t="str">
        <f t="shared" ref="O3:O6" si="2">IF(N3&gt;=90,"A",IF(N3&gt;=75,"B",IF(N3&gt;=50,"C","Fail")))</f>
        <v>A</v>
      </c>
      <c r="R3" t="s">
        <v>26</v>
      </c>
      <c r="S3" t="s">
        <v>2</v>
      </c>
      <c r="T3" t="s">
        <v>34</v>
      </c>
    </row>
    <row r="4" spans="1:20" x14ac:dyDescent="0.3">
      <c r="B4" t="s">
        <v>4</v>
      </c>
      <c r="C4">
        <v>55</v>
      </c>
      <c r="D4" t="str">
        <f t="shared" si="0"/>
        <v>Pass</v>
      </c>
      <c r="G4" t="s">
        <v>11</v>
      </c>
      <c r="H4">
        <v>30000</v>
      </c>
      <c r="I4">
        <v>90</v>
      </c>
      <c r="J4" t="str">
        <f t="shared" si="1"/>
        <v>No</v>
      </c>
      <c r="M4" t="s">
        <v>19</v>
      </c>
      <c r="N4">
        <v>57</v>
      </c>
      <c r="O4" t="str">
        <f t="shared" si="2"/>
        <v>C</v>
      </c>
      <c r="R4" t="s">
        <v>27</v>
      </c>
      <c r="S4" t="s">
        <v>30</v>
      </c>
      <c r="T4" t="s">
        <v>35</v>
      </c>
    </row>
    <row r="5" spans="1:20" x14ac:dyDescent="0.3">
      <c r="B5" t="s">
        <v>5</v>
      </c>
      <c r="C5">
        <v>80</v>
      </c>
      <c r="D5" t="str">
        <f t="shared" si="0"/>
        <v>Pass</v>
      </c>
      <c r="G5" t="s">
        <v>12</v>
      </c>
      <c r="H5">
        <v>25000</v>
      </c>
      <c r="I5">
        <v>65</v>
      </c>
      <c r="J5" t="str">
        <f t="shared" si="1"/>
        <v>No</v>
      </c>
      <c r="M5" t="s">
        <v>20</v>
      </c>
      <c r="N5">
        <v>92</v>
      </c>
      <c r="O5" t="str">
        <f t="shared" si="2"/>
        <v>A</v>
      </c>
      <c r="R5" t="s">
        <v>28</v>
      </c>
      <c r="S5" t="s">
        <v>31</v>
      </c>
      <c r="T5" t="s">
        <v>13</v>
      </c>
    </row>
    <row r="6" spans="1:20" x14ac:dyDescent="0.3">
      <c r="B6" t="s">
        <v>6</v>
      </c>
      <c r="C6">
        <v>30</v>
      </c>
      <c r="D6" t="str">
        <f t="shared" si="0"/>
        <v>Fail</v>
      </c>
      <c r="M6" t="s">
        <v>21</v>
      </c>
      <c r="N6">
        <v>75</v>
      </c>
      <c r="O6" t="str">
        <f t="shared" si="2"/>
        <v>B</v>
      </c>
    </row>
    <row r="7" spans="1:20" x14ac:dyDescent="0.3">
      <c r="R7" t="str">
        <f>VLOOKUP(R4,$R$1:$T$5,3,FALSE)</f>
        <v>Finance</v>
      </c>
      <c r="S7" t="s">
        <v>40</v>
      </c>
    </row>
    <row r="9" spans="1:20" x14ac:dyDescent="0.3">
      <c r="A9" t="s">
        <v>41</v>
      </c>
      <c r="B9" t="s">
        <v>42</v>
      </c>
      <c r="C9" t="s">
        <v>43</v>
      </c>
      <c r="G9" t="s">
        <v>44</v>
      </c>
      <c r="H9" t="s">
        <v>45</v>
      </c>
      <c r="I9" t="s">
        <v>46</v>
      </c>
      <c r="J9" t="s">
        <v>47</v>
      </c>
      <c r="L9" t="s">
        <v>51</v>
      </c>
      <c r="N9" t="s">
        <v>52</v>
      </c>
      <c r="O9" t="s">
        <v>24</v>
      </c>
      <c r="P9" t="s">
        <v>53</v>
      </c>
    </row>
    <row r="10" spans="1:20" x14ac:dyDescent="0.3">
      <c r="B10">
        <v>0</v>
      </c>
      <c r="C10">
        <v>5</v>
      </c>
      <c r="H10" t="s">
        <v>48</v>
      </c>
      <c r="I10">
        <v>10</v>
      </c>
      <c r="J10">
        <v>12</v>
      </c>
      <c r="L10" t="str">
        <f>IF(I10&gt;J10,"EXCEEDED","OK")</f>
        <v>OK</v>
      </c>
      <c r="O10" t="s">
        <v>26</v>
      </c>
      <c r="P10">
        <v>41000</v>
      </c>
      <c r="Q10">
        <f>INDEX(O10:P13,3,2)</f>
        <v>72000</v>
      </c>
    </row>
    <row r="11" spans="1:20" x14ac:dyDescent="0.3">
      <c r="B11">
        <v>20000</v>
      </c>
      <c r="C11">
        <v>10</v>
      </c>
      <c r="E11">
        <f>VLOOKUP(45000,$B$10:$C$13,2,TRUE)</f>
        <v>10</v>
      </c>
      <c r="H11" t="s">
        <v>49</v>
      </c>
      <c r="I11">
        <v>10</v>
      </c>
      <c r="J11">
        <v>15</v>
      </c>
      <c r="L11" t="str">
        <f t="shared" ref="L11:L12" si="3">IF(I11&gt;J11,"EXCEEDED","OK")</f>
        <v>OK</v>
      </c>
      <c r="O11" t="s">
        <v>28</v>
      </c>
      <c r="P11">
        <v>55000</v>
      </c>
    </row>
    <row r="12" spans="1:20" x14ac:dyDescent="0.3">
      <c r="B12">
        <v>50000</v>
      </c>
      <c r="C12">
        <v>15</v>
      </c>
      <c r="H12" t="s">
        <v>50</v>
      </c>
      <c r="I12">
        <v>10</v>
      </c>
      <c r="J12">
        <v>12</v>
      </c>
      <c r="L12" t="str">
        <f t="shared" si="3"/>
        <v>OK</v>
      </c>
      <c r="O12" t="s">
        <v>54</v>
      </c>
      <c r="P12">
        <v>72000</v>
      </c>
    </row>
    <row r="13" spans="1:20" x14ac:dyDescent="0.3">
      <c r="B13">
        <v>80000</v>
      </c>
      <c r="C13">
        <v>20</v>
      </c>
      <c r="O13" t="s">
        <v>55</v>
      </c>
      <c r="P13">
        <v>62000</v>
      </c>
    </row>
    <row r="16" spans="1:20" x14ac:dyDescent="0.3">
      <c r="A16" t="s">
        <v>56</v>
      </c>
      <c r="B16" t="s">
        <v>24</v>
      </c>
      <c r="C16" t="s">
        <v>59</v>
      </c>
    </row>
    <row r="17" spans="2:4" x14ac:dyDescent="0.3">
      <c r="B17" t="s">
        <v>25</v>
      </c>
      <c r="C17" t="s">
        <v>34</v>
      </c>
    </row>
    <row r="18" spans="2:4" x14ac:dyDescent="0.3">
      <c r="B18" t="s">
        <v>57</v>
      </c>
      <c r="C18" t="s">
        <v>33</v>
      </c>
      <c r="D18" t="str">
        <f>_xlfn.XLOOKUP(B18,B17:B20,C17:C20)</f>
        <v>IT</v>
      </c>
    </row>
    <row r="19" spans="2:4" x14ac:dyDescent="0.3">
      <c r="B19" t="s">
        <v>55</v>
      </c>
      <c r="C19" t="s">
        <v>13</v>
      </c>
    </row>
    <row r="20" spans="2:4" x14ac:dyDescent="0.3">
      <c r="B20" t="s">
        <v>58</v>
      </c>
      <c r="C20" t="s">
        <v>35</v>
      </c>
    </row>
  </sheetData>
  <sortState xmlns:xlrd2="http://schemas.microsoft.com/office/spreadsheetml/2017/richdata2" ref="O10:P13">
    <sortCondition ref="O10:O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Zuned Hussain</dc:creator>
  <cp:lastModifiedBy>Zuned Hussain</cp:lastModifiedBy>
  <dcterms:created xsi:type="dcterms:W3CDTF">2025-12-22T14:02:33Z</dcterms:created>
  <dcterms:modified xsi:type="dcterms:W3CDTF">2026-01-05T12:29:39Z</dcterms:modified>
</cp:coreProperties>
</file>